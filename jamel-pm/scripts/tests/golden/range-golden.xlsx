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ycena" sheetId="1" state="visible" r:id="rId1"/>
    <sheet name="Elementy dodatkow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\.d"/>
    <numFmt numFmtId="165" formatCode="#,##0\ [$zł-415]"/>
  </numFmts>
  <fonts count="13">
    <font>
      <name val="Calibri"/>
      <family val="2"/>
      <color theme="1"/>
      <sz val="11"/>
      <scheme val="minor"/>
    </font>
    <font>
      <name val="Tahoma"/>
      <color theme="1"/>
      <sz val="9"/>
    </font>
    <font>
      <name val="Helvetica Neue"/>
      <b val="1"/>
      <color rgb="FF21314D"/>
      <sz val="17"/>
    </font>
    <font>
      <name val="Helvetica Neue"/>
      <color rgb="FF000000"/>
      <sz val="9"/>
    </font>
    <font>
      <name val="Helvetica Neue"/>
      <color theme="1"/>
      <sz val="9"/>
    </font>
    <font>
      <name val="Helvetica Neue"/>
      <color theme="1"/>
      <sz val="10"/>
    </font>
    <font>
      <name val="Helvetica Neue"/>
      <color rgb="FFEFEFEF"/>
      <sz val="8"/>
    </font>
    <font>
      <name val="Helvetica Neue"/>
      <b val="1"/>
      <color rgb="FF21314D"/>
      <sz val="10"/>
    </font>
    <font>
      <name val="Helvetica Neue"/>
      <b val="1"/>
      <color rgb="FFFFFFFF"/>
      <sz val="11"/>
    </font>
    <font>
      <name val="Helvetica Neue"/>
      <b val="1"/>
      <color rgb="FFFF818D"/>
      <sz val="10"/>
    </font>
    <font>
      <name val="Helvetica Neue"/>
      <color rgb="FF21314D"/>
      <sz val="10"/>
    </font>
    <font>
      <name val="Helvetica Neue"/>
      <b val="1"/>
      <color rgb="FFFEFBF4"/>
      <sz val="12"/>
    </font>
    <font>
      <name val="Helvetica Neue"/>
      <b val="1"/>
      <color rgb="FFFF818D"/>
      <sz val="12"/>
    </font>
  </fonts>
  <fills count="5">
    <fill>
      <patternFill/>
    </fill>
    <fill>
      <patternFill patternType="gray125"/>
    </fill>
    <fill>
      <patternFill patternType="solid">
        <fgColor rgb="FFFEFBF4"/>
        <bgColor rgb="FFFEFBF4"/>
      </patternFill>
    </fill>
    <fill>
      <patternFill patternType="solid">
        <fgColor theme="0"/>
        <bgColor theme="0"/>
      </patternFill>
    </fill>
    <fill>
      <patternFill patternType="solid">
        <fgColor rgb="FFFF818D"/>
        <bgColor rgb="FFFF818D"/>
      </patternFill>
    </fill>
  </fills>
  <borders count="18">
    <border>
      <left/>
      <right/>
      <top/>
      <bottom/>
      <diagonal/>
    </border>
    <border/>
    <border>
      <top/>
    </border>
    <border>
      <bottom/>
    </border>
    <border>
      <right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2" fillId="2" borderId="4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top" wrapText="1"/>
    </xf>
    <xf numFmtId="0" fontId="5" fillId="2" borderId="6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right" vertical="top" wrapText="1"/>
    </xf>
    <xf numFmtId="0" fontId="7" fillId="2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left" vertical="top" wrapText="1"/>
    </xf>
    <xf numFmtId="0" fontId="10" fillId="3" borderId="7" applyAlignment="1" pivotButton="0" quotePrefix="0" xfId="0">
      <alignment horizontal="right" vertical="top" wrapText="1"/>
    </xf>
    <xf numFmtId="0" fontId="10" fillId="3" borderId="8" applyAlignment="1" pivotButton="0" quotePrefix="0" xfId="0">
      <alignment horizontal="left" vertical="top" wrapText="1"/>
    </xf>
    <xf numFmtId="1" fontId="10" fillId="3" borderId="8" applyAlignment="1" pivotButton="0" quotePrefix="0" xfId="0">
      <alignment horizontal="right" vertical="top" wrapText="1"/>
    </xf>
    <xf numFmtId="165" fontId="10" fillId="3" borderId="8" applyAlignment="1" pivotButton="0" quotePrefix="0" xfId="0">
      <alignment horizontal="right" vertical="top" wrapText="1"/>
    </xf>
    <xf numFmtId="165" fontId="10" fillId="3" borderId="9" applyAlignment="1" pivotButton="0" quotePrefix="0" xfId="0">
      <alignment horizontal="right" vertical="top" wrapText="1"/>
    </xf>
    <xf numFmtId="0" fontId="10" fillId="3" borderId="10" applyAlignment="1" pivotButton="0" quotePrefix="0" xfId="0">
      <alignment horizontal="right" vertical="top" wrapText="1"/>
    </xf>
    <xf numFmtId="0" fontId="10" fillId="3" borderId="1" applyAlignment="1" pivotButton="0" quotePrefix="0" xfId="0">
      <alignment horizontal="left" vertical="top" wrapText="1"/>
    </xf>
    <xf numFmtId="1" fontId="10" fillId="3" borderId="1" applyAlignment="1" pivotButton="0" quotePrefix="0" xfId="0">
      <alignment horizontal="right" vertical="top" wrapText="1"/>
    </xf>
    <xf numFmtId="165" fontId="10" fillId="3" borderId="1" applyAlignment="1" pivotButton="0" quotePrefix="0" xfId="0">
      <alignment horizontal="right" vertical="top" wrapText="1"/>
    </xf>
    <xf numFmtId="165" fontId="10" fillId="3" borderId="11" applyAlignment="1" pivotButton="0" quotePrefix="0" xfId="0">
      <alignment horizontal="right" vertical="top" wrapText="1"/>
    </xf>
    <xf numFmtId="0" fontId="10" fillId="3" borderId="12" applyAlignment="1" pivotButton="0" quotePrefix="0" xfId="0">
      <alignment horizontal="right" vertical="top" wrapText="1"/>
    </xf>
    <xf numFmtId="0" fontId="10" fillId="3" borderId="13" applyAlignment="1" pivotButton="0" quotePrefix="0" xfId="0">
      <alignment horizontal="left" vertical="top" wrapText="1"/>
    </xf>
    <xf numFmtId="1" fontId="10" fillId="3" borderId="13" applyAlignment="1" pivotButton="0" quotePrefix="0" xfId="0">
      <alignment horizontal="right" vertical="top" wrapText="1"/>
    </xf>
    <xf numFmtId="165" fontId="10" fillId="3" borderId="13" applyAlignment="1" pivotButton="0" quotePrefix="0" xfId="0">
      <alignment horizontal="right" vertical="top" wrapText="1"/>
    </xf>
    <xf numFmtId="165" fontId="10" fillId="3" borderId="14" applyAlignment="1" pivotButton="0" quotePrefix="0" xfId="0">
      <alignment horizontal="right" vertical="top" wrapText="1"/>
    </xf>
    <xf numFmtId="0" fontId="10" fillId="3" borderId="15" applyAlignment="1" pivotButton="0" quotePrefix="0" xfId="0">
      <alignment horizontal="right" vertical="top" wrapText="1"/>
    </xf>
    <xf numFmtId="0" fontId="10" fillId="3" borderId="16" applyAlignment="1" pivotButton="0" quotePrefix="0" xfId="0">
      <alignment horizontal="left" vertical="top" wrapText="1"/>
    </xf>
    <xf numFmtId="1" fontId="10" fillId="3" borderId="16" applyAlignment="1" pivotButton="0" quotePrefix="0" xfId="0">
      <alignment horizontal="right" vertical="top" wrapText="1"/>
    </xf>
    <xf numFmtId="165" fontId="10" fillId="3" borderId="16" applyAlignment="1" pivotButton="0" quotePrefix="0" xfId="0">
      <alignment horizontal="right" vertical="top" wrapText="1"/>
    </xf>
    <xf numFmtId="165" fontId="10" fillId="3" borderId="17" applyAlignment="1" pivotButton="0" quotePrefix="0" xfId="0">
      <alignment horizontal="right" vertical="top" wrapText="1"/>
    </xf>
    <xf numFmtId="164" fontId="3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right" vertical="center" wrapText="1"/>
    </xf>
    <xf numFmtId="165" fontId="11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165" fontId="11" fillId="2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704850" cy="1133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704850" cy="1133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5.75" customWidth="1" min="1" max="1"/>
    <col width="9.25" customWidth="1" min="2" max="2"/>
    <col width="18.38" customWidth="1" min="3" max="3"/>
    <col width="41.38" customWidth="1" min="4" max="4"/>
    <col width="10.88" customWidth="1" min="5" max="5"/>
    <col width="8.25" customWidth="1" min="6" max="6"/>
    <col width="8.25" customWidth="1" min="7" max="7"/>
    <col width="10.38" customWidth="1" min="8" max="8"/>
    <col width="12.5" customWidth="1" min="9" max="9"/>
    <col width="12.5" customWidth="1" min="10" max="10"/>
    <col width="11.13" customWidth="1" min="11" max="11"/>
  </cols>
  <sheetData>
    <row r="1" ht="108.75" customHeight="1">
      <c r="A1" s="1" t="n"/>
      <c r="B1" s="2" t="n"/>
      <c r="C1" s="3" t="inlineStr">
        <is>
          <t>Wycena wdrożenia serwisu
dla Sprint</t>
        </is>
      </c>
      <c r="K1" s="4" t="n"/>
    </row>
    <row r="2" ht="20.25" customHeight="1">
      <c r="A2" s="5" t="n"/>
      <c r="B2" s="5" t="n"/>
      <c r="C2" s="6" t="inlineStr">
        <is>
          <t>Data przygotowania oferty: 07.07.2026</t>
        </is>
      </c>
      <c r="K2" s="4" t="n"/>
    </row>
    <row r="3" ht="35.25" customHeight="1">
      <c r="A3" s="5" t="n"/>
      <c r="B3" s="5" t="n"/>
      <c r="C3" s="7" t="inlineStr">
        <is>
          <t xml:space="preserve">Ofertę przygotował/-a: Maciej Guć
</t>
        </is>
      </c>
      <c r="K3" s="4" t="n"/>
    </row>
    <row r="4">
      <c r="A4" s="8" t="n"/>
      <c r="B4" s="9" t="n"/>
      <c r="K4" s="4" t="n"/>
    </row>
    <row r="5" ht="38.25" customHeight="1">
      <c r="A5" s="8" t="n"/>
      <c r="B5" s="10" t="inlineStr">
        <is>
          <t>Etap</t>
        </is>
      </c>
      <c r="C5" s="11" t="inlineStr">
        <is>
          <t>Opis</t>
        </is>
      </c>
      <c r="D5" s="11" t="inlineStr">
        <is>
          <t>Zadanie Wykonawcy</t>
        </is>
      </c>
      <c r="E5" s="11" t="inlineStr">
        <is>
          <t>Rola</t>
        </is>
      </c>
      <c r="F5" s="10" t="inlineStr">
        <is>
          <t>RH (min)</t>
        </is>
      </c>
      <c r="G5" s="10" t="inlineStr">
        <is>
          <t>RH (max)</t>
        </is>
      </c>
      <c r="H5" s="10" t="inlineStr">
        <is>
          <t>Stawka</t>
        </is>
      </c>
      <c r="I5" s="10" t="inlineStr">
        <is>
          <t>Kwota całkowita netto (min)</t>
        </is>
      </c>
      <c r="J5" s="10" t="inlineStr">
        <is>
          <t>Kwota całkowita netto (max)</t>
        </is>
      </c>
      <c r="K5" s="4" t="n"/>
    </row>
    <row r="6" ht="38.25" customHeight="1">
      <c r="A6" s="12" t="n"/>
      <c r="B6" s="13" t="inlineStr">
        <is>
          <t>Analiza i projektowanie</t>
        </is>
      </c>
      <c r="K6" s="4" t="n"/>
    </row>
    <row r="7" ht="45.75" customHeight="1">
      <c r="A7" s="4" t="n"/>
      <c r="B7" s="14" t="inlineStr">
        <is>
          <t>1.1</t>
        </is>
      </c>
      <c r="C7" s="15" t="inlineStr">
        <is>
          <t>Warsztaty i specyfikacja</t>
        </is>
      </c>
      <c r="D7" s="15" t="inlineStr">
        <is>
          <t>Warsztaty z zespołem klienta, doprecyzowanie zakresu i specyfikacja funkcjonalna.</t>
        </is>
      </c>
      <c r="E7" s="15" t="inlineStr">
        <is>
          <t>Project Manager</t>
        </is>
      </c>
      <c r="F7" s="16" t="n">
        <v>6</v>
      </c>
      <c r="G7" s="16" t="n">
        <v>10</v>
      </c>
      <c r="H7" s="17" t="n">
        <v>225</v>
      </c>
      <c r="I7" s="17">
        <f>F7*H7</f>
        <v/>
      </c>
      <c r="J7" s="18">
        <f>G7*H7</f>
        <v/>
      </c>
      <c r="K7" s="4" t="n"/>
    </row>
    <row r="8" ht="45.75" customHeight="1">
      <c r="A8" s="4" t="n"/>
      <c r="B8" s="19" t="inlineStr">
        <is>
          <t>1.2</t>
        </is>
      </c>
      <c r="C8" s="20" t="inlineStr">
        <is>
          <t>Projekt graficzny HP</t>
        </is>
      </c>
      <c r="D8" s="20" t="inlineStr">
        <is>
          <t>Projekt graficzny strony głównej. W cenie 3 rundy zmian.</t>
        </is>
      </c>
      <c r="E8" s="20" t="inlineStr">
        <is>
          <t>Web Designer</t>
        </is>
      </c>
      <c r="F8" s="21" t="n">
        <v>12</v>
      </c>
      <c r="G8" s="21" t="n">
        <v>16</v>
      </c>
      <c r="H8" s="22" t="n">
        <v>225</v>
      </c>
      <c r="I8" s="22">
        <f>F8*H8</f>
        <v/>
      </c>
      <c r="J8" s="23">
        <f>G8*H8</f>
        <v/>
      </c>
      <c r="K8" s="4" t="n"/>
    </row>
    <row r="9" ht="45.75" customHeight="1">
      <c r="A9" s="4" t="n"/>
      <c r="B9" s="24" t="inlineStr">
        <is>
          <t>1.3</t>
        </is>
      </c>
      <c r="C9" s="25" t="inlineStr">
        <is>
          <t>Podstrony i system bloczków</t>
        </is>
      </c>
      <c r="D9" s="25" t="inlineStr">
        <is>
          <t>Projekty podstron oraz systemu bloczków treściowych; responsive i handoff.</t>
        </is>
      </c>
      <c r="E9" s="25" t="inlineStr">
        <is>
          <t>Web Designer</t>
        </is>
      </c>
      <c r="F9" s="26" t="n">
        <v>14</v>
      </c>
      <c r="G9" s="26" t="n">
        <v>20</v>
      </c>
      <c r="H9" s="27" t="n">
        <v>225</v>
      </c>
      <c r="I9" s="27">
        <f>F9*H9</f>
        <v/>
      </c>
      <c r="J9" s="28">
        <f>G9*H9</f>
        <v/>
      </c>
      <c r="K9" s="4" t="n"/>
    </row>
    <row r="10" ht="38.25" customHeight="1">
      <c r="A10" s="12" t="n"/>
      <c r="B10" s="13" t="inlineStr">
        <is>
          <t>Programowanie</t>
        </is>
      </c>
      <c r="K10" s="4" t="n"/>
    </row>
    <row r="11" ht="45.75" customHeight="1">
      <c r="A11" s="4" t="n"/>
      <c r="B11" s="14" t="inlineStr">
        <is>
          <t>2.1</t>
        </is>
      </c>
      <c r="C11" s="15" t="inlineStr">
        <is>
          <t>Core CMS i środowiska</t>
        </is>
      </c>
      <c r="D11" s="15" t="inlineStr">
        <is>
          <t>Konfiguracja CMS, modele treści, środowiska dev/staging/prod.</t>
        </is>
      </c>
      <c r="E11" s="15" t="inlineStr">
        <is>
          <t>Back-end + Front-end Developer</t>
        </is>
      </c>
      <c r="F11" s="16" t="n">
        <v>14</v>
      </c>
      <c r="G11" s="16" t="n">
        <v>18</v>
      </c>
      <c r="H11" s="17" t="n">
        <v>250</v>
      </c>
      <c r="I11" s="17">
        <f>F11*H11</f>
        <v/>
      </c>
      <c r="J11" s="18">
        <f>G11*H11</f>
        <v/>
      </c>
      <c r="K11" s="4" t="n"/>
    </row>
    <row r="12" ht="45.75" customHeight="1">
      <c r="A12" s="4" t="n"/>
      <c r="B12" s="19" t="inlineStr">
        <is>
          <t>2.2</t>
        </is>
      </c>
      <c r="C12" s="20" t="inlineStr">
        <is>
          <t>Frontend globalny</t>
        </is>
      </c>
      <c r="D12" s="20" t="inlineStr">
        <is>
          <t>Layout globalny, nawigacja, footer, strona główna.</t>
        </is>
      </c>
      <c r="E12" s="20" t="inlineStr">
        <is>
          <t>Back-end + Front-end Developer</t>
        </is>
      </c>
      <c r="F12" s="21" t="n">
        <v>16</v>
      </c>
      <c r="G12" s="21" t="n">
        <v>18</v>
      </c>
      <c r="H12" s="22" t="n">
        <v>250</v>
      </c>
      <c r="I12" s="22">
        <f>F12*H12</f>
        <v/>
      </c>
      <c r="J12" s="23">
        <f>G12*H12</f>
        <v/>
      </c>
      <c r="K12" s="4" t="n"/>
    </row>
    <row r="13" ht="45.75" customHeight="1">
      <c r="A13" s="4" t="n"/>
      <c r="B13" s="19" t="inlineStr">
        <is>
          <t>2.3</t>
        </is>
      </c>
      <c r="C13" s="20" t="inlineStr">
        <is>
          <t>System bloczków</t>
        </is>
      </c>
      <c r="D13" s="20" t="inlineStr">
        <is>
          <t>Wdrożenie systemu bloczków do samodzielnego składania podstron.</t>
        </is>
      </c>
      <c r="E13" s="20" t="inlineStr">
        <is>
          <t>Back-end + Front-end Developer</t>
        </is>
      </c>
      <c r="F13" s="21" t="n">
        <v>24</v>
      </c>
      <c r="G13" s="21" t="n">
        <v>30</v>
      </c>
      <c r="H13" s="22" t="n">
        <v>250</v>
      </c>
      <c r="I13" s="22">
        <f>F13*H13</f>
        <v/>
      </c>
      <c r="J13" s="23">
        <f>G13*H13</f>
        <v/>
      </c>
      <c r="K13" s="4" t="n"/>
    </row>
    <row r="14" ht="45.75" customHeight="1">
      <c r="A14" s="4" t="n"/>
      <c r="B14" s="24" t="inlineStr">
        <is>
          <t>2.4</t>
        </is>
      </c>
      <c r="C14" s="25" t="inlineStr">
        <is>
          <t>Listingi i wyszukiwarka</t>
        </is>
      </c>
      <c r="D14" s="25" t="inlineStr">
        <is>
          <t>Listing ofert z filtrowaniem i wyszukiwarką.</t>
        </is>
      </c>
      <c r="E14" s="25" t="inlineStr">
        <is>
          <t>Back-end + Front-end Developer</t>
        </is>
      </c>
      <c r="F14" s="26" t="n">
        <v>15</v>
      </c>
      <c r="G14" s="26" t="n">
        <v>18</v>
      </c>
      <c r="H14" s="27" t="n">
        <v>250</v>
      </c>
      <c r="I14" s="27">
        <f>F14*H14</f>
        <v/>
      </c>
      <c r="J14" s="28">
        <f>G14*H14</f>
        <v/>
      </c>
      <c r="K14" s="4" t="n"/>
    </row>
    <row r="15" ht="38.25" customHeight="1">
      <c r="A15" s="12" t="n"/>
      <c r="B15" s="13" t="inlineStr">
        <is>
          <t>Prace redakcyjne, testy, analityka, wdrożenie</t>
        </is>
      </c>
      <c r="K15" s="4" t="n"/>
    </row>
    <row r="16" ht="45.75" customHeight="1">
      <c r="A16" s="4" t="n"/>
      <c r="B16" s="14" t="inlineStr">
        <is>
          <t>3.1</t>
        </is>
      </c>
      <c r="C16" s="15" t="inlineStr">
        <is>
          <t>Copywriting</t>
        </is>
      </c>
      <c r="D16" s="15" t="inlineStr">
        <is>
          <t>Copywriting dla całej strony (ryczałt).</t>
        </is>
      </c>
      <c r="E16" s="15" t="inlineStr">
        <is>
          <t>Copywriter</t>
        </is>
      </c>
      <c r="F16" s="16" t="inlineStr">
        <is>
          <t>-</t>
        </is>
      </c>
      <c r="G16" s="16" t="inlineStr">
        <is>
          <t>-</t>
        </is>
      </c>
      <c r="H16" s="17" t="inlineStr">
        <is>
          <t>-</t>
        </is>
      </c>
      <c r="I16" s="17" t="n">
        <v>4500</v>
      </c>
      <c r="J16" s="18" t="n">
        <v>7000</v>
      </c>
      <c r="K16" s="4" t="n"/>
    </row>
    <row r="17" ht="45.75" customHeight="1">
      <c r="A17" s="4" t="n"/>
      <c r="B17" s="19" t="inlineStr">
        <is>
          <t>3.2</t>
        </is>
      </c>
      <c r="C17" s="20" t="inlineStr">
        <is>
          <t>Testy i QA</t>
        </is>
      </c>
      <c r="D17" s="20" t="inlineStr">
        <is>
          <t>Testy funkcjonalne i wizualne przed wdrożeniem.</t>
        </is>
      </c>
      <c r="E17" s="20" t="inlineStr">
        <is>
          <t>Tester</t>
        </is>
      </c>
      <c r="F17" s="21" t="n">
        <v>8</v>
      </c>
      <c r="G17" s="21" t="n">
        <v>12</v>
      </c>
      <c r="H17" s="22" t="n">
        <v>180</v>
      </c>
      <c r="I17" s="22">
        <f>F17*H17</f>
        <v/>
      </c>
      <c r="J17" s="23">
        <f>G17*H17</f>
        <v/>
      </c>
      <c r="K17" s="4" t="n"/>
    </row>
    <row r="18" ht="45.75" customHeight="1">
      <c r="A18" s="4" t="n"/>
      <c r="B18" s="24" t="inlineStr">
        <is>
          <t>3.3</t>
        </is>
      </c>
      <c r="C18" s="25" t="inlineStr">
        <is>
          <t>Szkolenie</t>
        </is>
      </c>
      <c r="D18" s="25" t="inlineStr">
        <is>
          <t>Szkolenie z obsługi CMS.</t>
        </is>
      </c>
      <c r="E18" s="25" t="inlineStr">
        <is>
          <t>Project Manager</t>
        </is>
      </c>
      <c r="F18" s="26" t="n">
        <v>2</v>
      </c>
      <c r="G18" s="26" t="n">
        <v>2</v>
      </c>
      <c r="H18" s="27" t="n">
        <v>0</v>
      </c>
      <c r="I18" s="27" t="n">
        <v>0</v>
      </c>
      <c r="J18" s="28" t="n">
        <v>0</v>
      </c>
      <c r="K18" s="4" t="n"/>
    </row>
    <row r="19" ht="38.25" customHeight="1">
      <c r="A19" s="12" t="n"/>
      <c r="B19" s="13" t="inlineStr">
        <is>
          <t>Zakończenie prac</t>
        </is>
      </c>
      <c r="K19" s="4" t="n"/>
    </row>
    <row r="20" ht="45.75" customHeight="1">
      <c r="A20" s="4" t="n"/>
      <c r="B20" s="29" t="inlineStr">
        <is>
          <t>4.1</t>
        </is>
      </c>
      <c r="C20" s="30" t="inlineStr">
        <is>
          <t>Prowadzenie realizacji projektu</t>
        </is>
      </c>
      <c r="D20" s="30" t="inlineStr">
        <is>
          <t>Koordynacja projektu, komunikacja, statusy (15–20% czasu prac).</t>
        </is>
      </c>
      <c r="E20" s="30" t="inlineStr">
        <is>
          <t>Project Manager</t>
        </is>
      </c>
      <c r="F20" s="31" t="n">
        <v>17</v>
      </c>
      <c r="G20" s="31" t="n">
        <v>22</v>
      </c>
      <c r="H20" s="32" t="n">
        <v>225</v>
      </c>
      <c r="I20" s="32">
        <f>F20*H20</f>
        <v/>
      </c>
      <c r="J20" s="33">
        <f>G20*H20</f>
        <v/>
      </c>
      <c r="K20" s="4" t="n"/>
    </row>
    <row r="21" ht="24.75" customHeight="1">
      <c r="A21" s="4" t="n"/>
      <c r="B21" s="34" t="n"/>
      <c r="C21" s="4" t="n"/>
      <c r="D21" s="4" t="n"/>
      <c r="E21" s="4" t="n"/>
      <c r="F21" s="34" t="n"/>
      <c r="G21" s="34" t="n"/>
      <c r="H21" s="34" t="n"/>
      <c r="I21" s="35" t="inlineStr">
        <is>
          <t>SUMA (min)</t>
        </is>
      </c>
      <c r="J21" s="35" t="inlineStr">
        <is>
          <t>SUMA (max)</t>
        </is>
      </c>
      <c r="K21" s="4" t="n"/>
    </row>
    <row r="22" ht="24.75" customHeight="1">
      <c r="A22" s="4" t="n"/>
      <c r="B22" s="34" t="n"/>
      <c r="C22" s="4" t="n"/>
      <c r="D22" s="4" t="n"/>
      <c r="E22" s="4" t="n"/>
      <c r="F22" s="34" t="n"/>
      <c r="G22" s="34" t="n"/>
      <c r="H22" s="34" t="n"/>
      <c r="I22" s="36">
        <f>SUM(I7:I20)</f>
        <v/>
      </c>
      <c r="J22" s="36">
        <f>SUM(J7:J20)</f>
        <v/>
      </c>
      <c r="K22" s="4" t="n"/>
    </row>
    <row r="23" ht="24.75" customHeight="1">
      <c r="A23" s="4" t="n"/>
      <c r="B23" s="4" t="n"/>
      <c r="C23" s="4" t="n"/>
      <c r="D23" s="4" t="n"/>
      <c r="E23" s="4" t="n"/>
      <c r="F23" s="37" t="n"/>
      <c r="G23" s="37" t="n"/>
      <c r="H23" s="38" t="n"/>
      <c r="I23" s="39" t="n"/>
      <c r="J23" s="39" t="n"/>
      <c r="K23" s="4" t="n"/>
    </row>
  </sheetData>
  <mergeCells count="8">
    <mergeCell ref="B15:J15"/>
    <mergeCell ref="C3:J3"/>
    <mergeCell ref="B19:J19"/>
    <mergeCell ref="B10:J10"/>
    <mergeCell ref="C1:J1"/>
    <mergeCell ref="C2:J2"/>
    <mergeCell ref="B4:J4"/>
    <mergeCell ref="B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5.75" customWidth="1" min="1" max="1"/>
    <col width="9.25" customWidth="1" min="2" max="2"/>
    <col width="18.38" customWidth="1" min="3" max="3"/>
    <col width="41.38" customWidth="1" min="4" max="4"/>
    <col width="10.88" customWidth="1" min="5" max="5"/>
    <col width="8.25" customWidth="1" min="6" max="6"/>
    <col width="8.25" customWidth="1" min="7" max="7"/>
    <col width="10.38" customWidth="1" min="8" max="8"/>
    <col width="12.5" customWidth="1" min="9" max="9"/>
    <col width="12.5" customWidth="1" min="10" max="10"/>
    <col width="11.13" customWidth="1" min="11" max="11"/>
  </cols>
  <sheetData>
    <row r="1" ht="108.75" customHeight="1">
      <c r="A1" s="1" t="n"/>
      <c r="B1" s="2" t="n"/>
      <c r="C1" s="3" t="inlineStr">
        <is>
          <t>Wycena wdrożenia serwisu
dla Sprint</t>
        </is>
      </c>
      <c r="K1" s="4" t="n"/>
    </row>
    <row r="2" ht="20.25" customHeight="1">
      <c r="A2" s="5" t="n"/>
      <c r="B2" s="5" t="n"/>
      <c r="C2" s="6" t="inlineStr">
        <is>
          <t>Data przygotowania oferty: 07.07.2026</t>
        </is>
      </c>
      <c r="K2" s="4" t="n"/>
    </row>
    <row r="3" ht="35.25" customHeight="1">
      <c r="A3" s="5" t="n"/>
      <c r="B3" s="5" t="n"/>
      <c r="C3" s="7" t="inlineStr">
        <is>
          <t xml:space="preserve">Ofertę przygotował/-a: Maciej Guć
</t>
        </is>
      </c>
      <c r="K3" s="4" t="n"/>
    </row>
    <row r="4">
      <c r="A4" s="8" t="n"/>
      <c r="B4" s="9" t="n"/>
      <c r="K4" s="4" t="n"/>
    </row>
    <row r="5" ht="38.25" customHeight="1">
      <c r="A5" s="8" t="n"/>
      <c r="B5" s="10" t="inlineStr">
        <is>
          <t>Etap</t>
        </is>
      </c>
      <c r="C5" s="11" t="inlineStr">
        <is>
          <t>Opis</t>
        </is>
      </c>
      <c r="D5" s="11" t="inlineStr">
        <is>
          <t>Zadanie Wykonawcy</t>
        </is>
      </c>
      <c r="E5" s="11" t="inlineStr">
        <is>
          <t>Rola</t>
        </is>
      </c>
      <c r="F5" s="10" t="inlineStr">
        <is>
          <t>RH (min)</t>
        </is>
      </c>
      <c r="G5" s="10" t="inlineStr">
        <is>
          <t>RH (max)</t>
        </is>
      </c>
      <c r="H5" s="10" t="inlineStr">
        <is>
          <t>Stawka</t>
        </is>
      </c>
      <c r="I5" s="10" t="inlineStr">
        <is>
          <t>Kwota całkowita netto (min)</t>
        </is>
      </c>
      <c r="J5" s="10" t="inlineStr">
        <is>
          <t>Kwota całkowita netto (max)</t>
        </is>
      </c>
      <c r="K5" s="4" t="n"/>
    </row>
    <row r="6" ht="38.25" customHeight="1">
      <c r="A6" s="12" t="n"/>
      <c r="B6" s="13" t="inlineStr">
        <is>
          <t>Elementy dodatkowe / Dalszy rozwój</t>
        </is>
      </c>
      <c r="K6" s="4" t="n"/>
    </row>
    <row r="7" ht="45.75" customHeight="1">
      <c r="A7" s="4" t="n"/>
      <c r="B7" s="14" t="inlineStr">
        <is>
          <t>1.1</t>
        </is>
      </c>
      <c r="C7" s="15" t="inlineStr">
        <is>
          <t>Dostępność WCAG 2.2 AA</t>
        </is>
      </c>
      <c r="D7" s="15" t="inlineStr">
        <is>
          <t>Audyt i wdrożenie poprawek dostępności do poziomu WCAG 2.2 AA.</t>
        </is>
      </c>
      <c r="E7" s="15" t="inlineStr">
        <is>
          <t>Back-end + Front-end Developer</t>
        </is>
      </c>
      <c r="F7" s="16" t="n">
        <v>12</v>
      </c>
      <c r="G7" s="16" t="n">
        <v>18</v>
      </c>
      <c r="H7" s="17" t="n">
        <v>250</v>
      </c>
      <c r="I7" s="17">
        <f>F7*H7</f>
        <v/>
      </c>
      <c r="J7" s="18">
        <f>G7*H7</f>
        <v/>
      </c>
      <c r="K7" s="4" t="n"/>
    </row>
    <row r="8" ht="45.75" customHeight="1">
      <c r="A8" s="4" t="n"/>
      <c r="B8" s="24" t="inlineStr">
        <is>
          <t>1.2</t>
        </is>
      </c>
      <c r="C8" s="25" t="inlineStr">
        <is>
          <t>AI-readiness / SEO</t>
        </is>
      </c>
      <c r="D8" s="25" t="inlineStr">
        <is>
          <t>Przygotowanie serwisu pod wyszukiwarki AI (llms.txt, dane strukturalne).</t>
        </is>
      </c>
      <c r="E8" s="25" t="inlineStr">
        <is>
          <t>Back-end + Front-end Developer</t>
        </is>
      </c>
      <c r="F8" s="26" t="n">
        <v>6</v>
      </c>
      <c r="G8" s="26" t="n">
        <v>10</v>
      </c>
      <c r="H8" s="27" t="n">
        <v>250</v>
      </c>
      <c r="I8" s="27">
        <f>F8*H8</f>
        <v/>
      </c>
      <c r="J8" s="28">
        <f>G8*H8</f>
        <v/>
      </c>
      <c r="K8" s="4" t="n"/>
    </row>
    <row r="9" ht="24.75" customHeight="1">
      <c r="A9" s="4" t="n"/>
      <c r="B9" s="34" t="n"/>
      <c r="C9" s="4" t="n"/>
      <c r="D9" s="4" t="n"/>
      <c r="E9" s="4" t="n"/>
      <c r="F9" s="34" t="n"/>
      <c r="G9" s="34" t="n"/>
      <c r="H9" s="34" t="n"/>
      <c r="I9" s="35" t="inlineStr">
        <is>
          <t>SUMA (min)</t>
        </is>
      </c>
      <c r="J9" s="35" t="inlineStr">
        <is>
          <t>SUMA (max)</t>
        </is>
      </c>
      <c r="K9" s="4" t="n"/>
    </row>
    <row r="10" ht="24.75" customHeight="1">
      <c r="A10" s="4" t="n"/>
      <c r="B10" s="34" t="n"/>
      <c r="C10" s="4" t="n"/>
      <c r="D10" s="4" t="n"/>
      <c r="E10" s="4" t="n"/>
      <c r="F10" s="34" t="n"/>
      <c r="G10" s="34" t="n"/>
      <c r="H10" s="34" t="n"/>
      <c r="I10" s="36">
        <f>SUM(I7:I8)</f>
        <v/>
      </c>
      <c r="J10" s="36">
        <f>SUM(J7:J8)</f>
        <v/>
      </c>
      <c r="K10" s="4" t="n"/>
    </row>
    <row r="11" ht="24.75" customHeight="1">
      <c r="A11" s="4" t="n"/>
      <c r="B11" s="4" t="n"/>
      <c r="C11" s="4" t="n"/>
      <c r="D11" s="4" t="n"/>
      <c r="E11" s="4" t="n"/>
      <c r="F11" s="37" t="n"/>
      <c r="G11" s="37" t="n"/>
      <c r="H11" s="38" t="n"/>
      <c r="I11" s="39" t="n"/>
      <c r="J11" s="39" t="n"/>
      <c r="K11" s="4" t="n"/>
    </row>
  </sheetData>
  <mergeCells count="5">
    <mergeCell ref="C3:J3"/>
    <mergeCell ref="C1:J1"/>
    <mergeCell ref="C2:J2"/>
    <mergeCell ref="B4:J4"/>
    <mergeCell ref="B6:J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2026-07-07T12:34:39Z</dcterms:created>
  <dcterms:modified xsi:type="dcterms:W3CDTF">2026-07-07T12:34:39Z</dcterms:modified>
</cp:coreProperties>
</file>