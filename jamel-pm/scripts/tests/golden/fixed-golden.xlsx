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yc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\.d"/>
    <numFmt numFmtId="165" formatCode="#,##0\ [$zł-415]"/>
  </numFmts>
  <fonts count="13">
    <font>
      <name val="Calibri"/>
      <family val="2"/>
      <color theme="1"/>
      <sz val="11"/>
      <scheme val="minor"/>
    </font>
    <font>
      <name val="Tahoma"/>
      <color theme="1"/>
      <sz val="9"/>
    </font>
    <font>
      <name val="Helvetica Neue"/>
      <b val="1"/>
      <color rgb="FF21314D"/>
      <sz val="17"/>
    </font>
    <font>
      <name val="Helvetica Neue"/>
      <color rgb="FF000000"/>
      <sz val="9"/>
    </font>
    <font>
      <name val="Helvetica Neue"/>
      <color theme="1"/>
      <sz val="9"/>
    </font>
    <font>
      <name val="Helvetica Neue"/>
      <color theme="1"/>
      <sz val="10"/>
    </font>
    <font>
      <name val="Helvetica Neue"/>
      <color rgb="FFEFEFEF"/>
      <sz val="8"/>
    </font>
    <font>
      <name val="Helvetica Neue"/>
      <b val="1"/>
      <color rgb="FF21314D"/>
      <sz val="10"/>
    </font>
    <font>
      <name val="Helvetica Neue"/>
      <b val="1"/>
      <color rgb="FFFFFFFF"/>
      <sz val="11"/>
    </font>
    <font>
      <name val="Helvetica Neue"/>
      <b val="1"/>
      <color rgb="FFFF818D"/>
      <sz val="10"/>
    </font>
    <font>
      <name val="Helvetica Neue"/>
      <color rgb="FF21314D"/>
      <sz val="10"/>
    </font>
    <font>
      <name val="Helvetica Neue"/>
      <b val="1"/>
      <color rgb="FFFF818D"/>
      <sz val="12"/>
    </font>
    <font>
      <name val="Helvetica Neue"/>
      <b val="1"/>
      <color rgb="FFFEFBF4"/>
      <sz val="12"/>
    </font>
  </fonts>
  <fills count="5">
    <fill>
      <patternFill/>
    </fill>
    <fill>
      <patternFill patternType="gray125"/>
    </fill>
    <fill>
      <patternFill patternType="solid">
        <fgColor rgb="FFFEFBF4"/>
        <bgColor rgb="FFFEFBF4"/>
      </patternFill>
    </fill>
    <fill>
      <patternFill patternType="solid">
        <fgColor theme="0"/>
        <bgColor theme="0"/>
      </patternFill>
    </fill>
    <fill>
      <patternFill patternType="solid">
        <fgColor rgb="FFFF818D"/>
        <bgColor rgb="FFFF818D"/>
      </patternFill>
    </fill>
  </fills>
  <borders count="18">
    <border>
      <left/>
      <right/>
      <top/>
      <bottom/>
      <diagonal/>
    </border>
    <border/>
    <border>
      <top/>
    </border>
    <border>
      <bottom/>
    </border>
    <border>
      <right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2" fillId="2" borderId="4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top" wrapText="1"/>
    </xf>
    <xf numFmtId="0" fontId="5" fillId="2" borderId="6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right" vertical="top" wrapText="1"/>
    </xf>
    <xf numFmtId="0" fontId="7" fillId="2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left" vertical="top" wrapText="1"/>
    </xf>
    <xf numFmtId="0" fontId="10" fillId="3" borderId="7" applyAlignment="1" pivotButton="0" quotePrefix="0" xfId="0">
      <alignment horizontal="right" vertical="top" wrapText="1"/>
    </xf>
    <xf numFmtId="0" fontId="10" fillId="3" borderId="8" applyAlignment="1" pivotButton="0" quotePrefix="0" xfId="0">
      <alignment horizontal="left" vertical="top" wrapText="1"/>
    </xf>
    <xf numFmtId="1" fontId="10" fillId="3" borderId="8" applyAlignment="1" pivotButton="0" quotePrefix="0" xfId="0">
      <alignment horizontal="right" vertical="top" wrapText="1"/>
    </xf>
    <xf numFmtId="165" fontId="10" fillId="3" borderId="8" applyAlignment="1" pivotButton="0" quotePrefix="0" xfId="0">
      <alignment horizontal="right" vertical="top" wrapText="1"/>
    </xf>
    <xf numFmtId="165" fontId="10" fillId="3" borderId="9" applyAlignment="1" pivotButton="0" quotePrefix="0" xfId="0">
      <alignment horizontal="right" vertical="top" wrapText="1"/>
    </xf>
    <xf numFmtId="0" fontId="10" fillId="3" borderId="10" applyAlignment="1" pivotButton="0" quotePrefix="0" xfId="0">
      <alignment horizontal="right" vertical="top" wrapText="1"/>
    </xf>
    <xf numFmtId="0" fontId="10" fillId="3" borderId="11" applyAlignment="1" pivotButton="0" quotePrefix="0" xfId="0">
      <alignment horizontal="left" vertical="top" wrapText="1"/>
    </xf>
    <xf numFmtId="1" fontId="10" fillId="3" borderId="11" applyAlignment="1" pivotButton="0" quotePrefix="0" xfId="0">
      <alignment horizontal="right" vertical="top" wrapText="1"/>
    </xf>
    <xf numFmtId="165" fontId="10" fillId="3" borderId="11" applyAlignment="1" pivotButton="0" quotePrefix="0" xfId="0">
      <alignment horizontal="right" vertical="top" wrapText="1"/>
    </xf>
    <xf numFmtId="165" fontId="10" fillId="3" borderId="12" applyAlignment="1" pivotButton="0" quotePrefix="0" xfId="0">
      <alignment horizontal="right" vertical="top" wrapText="1"/>
    </xf>
    <xf numFmtId="0" fontId="10" fillId="3" borderId="13" applyAlignment="1" pivotButton="0" quotePrefix="0" xfId="0">
      <alignment horizontal="right" vertical="top" wrapText="1"/>
    </xf>
    <xf numFmtId="0" fontId="10" fillId="3" borderId="14" applyAlignment="1" pivotButton="0" quotePrefix="0" xfId="0">
      <alignment horizontal="left" vertical="top" wrapText="1"/>
    </xf>
    <xf numFmtId="1" fontId="10" fillId="3" borderId="14" applyAlignment="1" pivotButton="0" quotePrefix="0" xfId="0">
      <alignment horizontal="right" vertical="top" wrapText="1"/>
    </xf>
    <xf numFmtId="165" fontId="10" fillId="3" borderId="14" applyAlignment="1" pivotButton="0" quotePrefix="0" xfId="0">
      <alignment horizontal="right" vertical="top" wrapText="1"/>
    </xf>
    <xf numFmtId="165" fontId="10" fillId="3" borderId="15" applyAlignment="1" pivotButton="0" quotePrefix="0" xfId="0">
      <alignment horizontal="right" vertical="top" wrapText="1"/>
    </xf>
    <xf numFmtId="0" fontId="10" fillId="3" borderId="16" applyAlignment="1" pivotButton="0" quotePrefix="0" xfId="0">
      <alignment horizontal="right" vertical="top" wrapText="1"/>
    </xf>
    <xf numFmtId="0" fontId="10" fillId="3" borderId="1" applyAlignment="1" pivotButton="0" quotePrefix="0" xfId="0">
      <alignment horizontal="left" vertical="top" wrapText="1"/>
    </xf>
    <xf numFmtId="1" fontId="10" fillId="3" borderId="1" applyAlignment="1" pivotButton="0" quotePrefix="0" xfId="0">
      <alignment horizontal="right" vertical="top" wrapText="1"/>
    </xf>
    <xf numFmtId="165" fontId="10" fillId="3" borderId="1" applyAlignment="1" pivotButton="0" quotePrefix="0" xfId="0">
      <alignment horizontal="right" vertical="top" wrapText="1"/>
    </xf>
    <xf numFmtId="165" fontId="10" fillId="3" borderId="17" applyAlignment="1" pivotButton="0" quotePrefix="0" xfId="0">
      <alignment horizontal="right" vertical="top" wrapText="1"/>
    </xf>
    <xf numFmtId="164" fontId="3" fillId="2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right" vertical="center" wrapText="1"/>
    </xf>
    <xf numFmtId="165" fontId="12" fillId="4" borderId="1" applyAlignment="1" pivotButton="0" quotePrefix="0" xfId="0">
      <alignment horizontal="right" vertical="top" wrapText="1"/>
    </xf>
    <xf numFmtId="0" fontId="11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  <xf numFmtId="165" fontId="12" fillId="2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704850" cy="1133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5.75" customWidth="1" min="1" max="1"/>
    <col width="9.25" customWidth="1" min="2" max="2"/>
    <col width="18.38" customWidth="1" min="3" max="3"/>
    <col width="36.63" customWidth="1" min="4" max="4"/>
    <col width="10.88" customWidth="1" min="5" max="5"/>
    <col width="8.25" customWidth="1" min="6" max="6"/>
    <col width="7.5" customWidth="1" min="7" max="7"/>
    <col width="12.5" customWidth="1" min="8" max="8"/>
    <col width="11.13" customWidth="1" min="9" max="9"/>
  </cols>
  <sheetData>
    <row r="1" ht="108.75" customHeight="1">
      <c r="A1" s="1" t="n"/>
      <c r="B1" s="2" t="n"/>
      <c r="C1" s="3" t="inlineStr">
        <is>
          <t>Wycena wdrożenia serwisu
dla INA Management</t>
        </is>
      </c>
      <c r="I1" s="4" t="n"/>
    </row>
    <row r="2" ht="20.25" customHeight="1">
      <c r="A2" s="5" t="n"/>
      <c r="B2" s="5" t="n"/>
      <c r="C2" s="6" t="inlineStr">
        <is>
          <t>Data przygotowania oferty: 07.07.2026</t>
        </is>
      </c>
      <c r="I2" s="4" t="n"/>
    </row>
    <row r="3" ht="35.25" customHeight="1">
      <c r="A3" s="5" t="n"/>
      <c r="B3" s="5" t="n"/>
      <c r="C3" s="7" t="inlineStr">
        <is>
          <t xml:space="preserve">Ofertę przygotował/-a: Maciej Guć
</t>
        </is>
      </c>
      <c r="I3" s="4" t="n"/>
    </row>
    <row r="4">
      <c r="A4" s="8" t="n"/>
      <c r="B4" s="9" t="n"/>
      <c r="I4" s="4" t="n"/>
    </row>
    <row r="5" ht="38.25" customHeight="1">
      <c r="A5" s="8" t="n"/>
      <c r="B5" s="10" t="inlineStr">
        <is>
          <t>Etap</t>
        </is>
      </c>
      <c r="C5" s="11" t="inlineStr">
        <is>
          <t>Opis</t>
        </is>
      </c>
      <c r="D5" s="11" t="inlineStr">
        <is>
          <t>Zadanie Wykonawcy</t>
        </is>
      </c>
      <c r="E5" s="11" t="inlineStr">
        <is>
          <t>Rola</t>
        </is>
      </c>
      <c r="F5" s="10" t="inlineStr">
        <is>
          <t>RH</t>
        </is>
      </c>
      <c r="G5" s="10" t="inlineStr">
        <is>
          <t>Stawka</t>
        </is>
      </c>
      <c r="H5" s="10" t="inlineStr">
        <is>
          <t>Kwota całkowita netto</t>
        </is>
      </c>
      <c r="I5" s="4" t="n"/>
    </row>
    <row r="6" ht="38.25" customHeight="1">
      <c r="A6" s="12" t="n"/>
      <c r="B6" s="13" t="inlineStr">
        <is>
          <t>Analiza i projektowanie</t>
        </is>
      </c>
      <c r="I6" s="4" t="n"/>
    </row>
    <row r="7" ht="45.75" customHeight="1">
      <c r="A7" s="4" t="n"/>
      <c r="B7" s="14" t="inlineStr">
        <is>
          <t>1.1</t>
        </is>
      </c>
      <c r="C7" s="15" t="inlineStr">
        <is>
          <t>Projekt graficzny</t>
        </is>
      </c>
      <c r="D7" s="15" t="inlineStr">
        <is>
          <t>Projekt graficzny strony głównej i podstron. W cenie 3 rundy zmian.</t>
        </is>
      </c>
      <c r="E7" s="15" t="inlineStr">
        <is>
          <t>Web Designer</t>
        </is>
      </c>
      <c r="F7" s="16" t="n">
        <v>16</v>
      </c>
      <c r="G7" s="17" t="n">
        <v>225</v>
      </c>
      <c r="H7" s="18">
        <f>F7*G7</f>
        <v/>
      </c>
      <c r="I7" s="4" t="n"/>
    </row>
    <row r="8" ht="38.25" customHeight="1">
      <c r="A8" s="12" t="n"/>
      <c r="B8" s="13" t="inlineStr">
        <is>
          <t>Programowanie</t>
        </is>
      </c>
      <c r="I8" s="4" t="n"/>
    </row>
    <row r="9" ht="45.75" customHeight="1">
      <c r="A9" s="4" t="n"/>
      <c r="B9" s="19" t="inlineStr">
        <is>
          <t>2.1</t>
        </is>
      </c>
      <c r="C9" s="20" t="inlineStr">
        <is>
          <t>Core CMS</t>
        </is>
      </c>
      <c r="D9" s="20" t="inlineStr">
        <is>
          <t>Konfiguracja WordPress + ACF, custom post types.</t>
        </is>
      </c>
      <c r="E9" s="20" t="inlineStr">
        <is>
          <t>Back-end Developer</t>
        </is>
      </c>
      <c r="F9" s="21" t="n">
        <v>14</v>
      </c>
      <c r="G9" s="22" t="n">
        <v>250</v>
      </c>
      <c r="H9" s="23">
        <f>F9*G9</f>
        <v/>
      </c>
      <c r="I9" s="4" t="n"/>
    </row>
    <row r="10" ht="45.75" customHeight="1">
      <c r="A10" s="4" t="n"/>
      <c r="B10" s="24" t="inlineStr">
        <is>
          <t>2.2</t>
        </is>
      </c>
      <c r="C10" s="25" t="inlineStr">
        <is>
          <t>Frontend</t>
        </is>
      </c>
      <c r="D10" s="25" t="inlineStr">
        <is>
          <t>Wdrożenie frontendu wg projektu graficznego.</t>
        </is>
      </c>
      <c r="E10" s="25" t="inlineStr">
        <is>
          <t>Front-end Developer</t>
        </is>
      </c>
      <c r="F10" s="26" t="n">
        <v>20</v>
      </c>
      <c r="G10" s="27" t="n">
        <v>250</v>
      </c>
      <c r="H10" s="28">
        <f>F10*G10</f>
        <v/>
      </c>
      <c r="I10" s="4" t="n"/>
    </row>
    <row r="11" ht="38.25" customHeight="1">
      <c r="A11" s="12" t="n"/>
      <c r="B11" s="13" t="inlineStr">
        <is>
          <t>Prace redakcyjne, testy, analityka, wdrożenie</t>
        </is>
      </c>
      <c r="I11" s="4" t="n"/>
    </row>
    <row r="12" ht="45.75" customHeight="1">
      <c r="A12" s="4" t="n"/>
      <c r="B12" s="19" t="inlineStr">
        <is>
          <t>3.1</t>
        </is>
      </c>
      <c r="C12" s="20" t="inlineStr">
        <is>
          <t>Copywriting</t>
        </is>
      </c>
      <c r="D12" s="20" t="inlineStr">
        <is>
          <t>Redakcja treści (ryczałt).</t>
        </is>
      </c>
      <c r="E12" s="20" t="inlineStr">
        <is>
          <t>Copywriter</t>
        </is>
      </c>
      <c r="F12" s="21" t="inlineStr">
        <is>
          <t>-</t>
        </is>
      </c>
      <c r="G12" s="22" t="inlineStr">
        <is>
          <t>-</t>
        </is>
      </c>
      <c r="H12" s="23" t="n">
        <v>1500</v>
      </c>
      <c r="I12" s="4" t="n"/>
    </row>
    <row r="13" ht="45.75" customHeight="1">
      <c r="A13" s="4" t="n"/>
      <c r="B13" s="29" t="inlineStr">
        <is>
          <t>3.2</t>
        </is>
      </c>
      <c r="C13" s="30" t="inlineStr">
        <is>
          <t>Testy i QA</t>
        </is>
      </c>
      <c r="D13" s="30" t="inlineStr">
        <is>
          <t>Testy funkcjonalne i wizualne.</t>
        </is>
      </c>
      <c r="E13" s="30" t="inlineStr">
        <is>
          <t>Tester</t>
        </is>
      </c>
      <c r="F13" s="31" t="n">
        <v>8</v>
      </c>
      <c r="G13" s="32" t="n">
        <v>180</v>
      </c>
      <c r="H13" s="33">
        <f>F13*G13</f>
        <v/>
      </c>
      <c r="I13" s="4" t="n"/>
    </row>
    <row r="14" ht="45.75" customHeight="1">
      <c r="A14" s="4" t="n"/>
      <c r="B14" s="24" t="inlineStr">
        <is>
          <t>3.3</t>
        </is>
      </c>
      <c r="C14" s="25" t="inlineStr">
        <is>
          <t>Szkolenie</t>
        </is>
      </c>
      <c r="D14" s="25" t="inlineStr">
        <is>
          <t>Szkolenie z obsługi CMS.</t>
        </is>
      </c>
      <c r="E14" s="25" t="inlineStr">
        <is>
          <t>Project Manager</t>
        </is>
      </c>
      <c r="F14" s="26" t="inlineStr">
        <is>
          <t>W cenie</t>
        </is>
      </c>
      <c r="G14" s="27" t="n"/>
      <c r="H14" s="28" t="n"/>
      <c r="I14" s="4" t="n"/>
    </row>
    <row r="15" ht="38.25" customHeight="1">
      <c r="A15" s="12" t="n"/>
      <c r="B15" s="13" t="inlineStr">
        <is>
          <t>Zakończenie prac</t>
        </is>
      </c>
      <c r="I15" s="4" t="n"/>
    </row>
    <row r="16" ht="45.75" customHeight="1">
      <c r="A16" s="4" t="n"/>
      <c r="B16" s="19" t="inlineStr">
        <is>
          <t>4.1</t>
        </is>
      </c>
      <c r="C16" s="20" t="inlineStr">
        <is>
          <t>Prowadzenie realizacji projektu</t>
        </is>
      </c>
      <c r="D16" s="20" t="inlineStr">
        <is>
          <t>Koordynacja projektu (15–20% czasu prac).</t>
        </is>
      </c>
      <c r="E16" s="20" t="inlineStr">
        <is>
          <t>Project Manager</t>
        </is>
      </c>
      <c r="F16" s="21" t="n">
        <v>11</v>
      </c>
      <c r="G16" s="22" t="n">
        <v>225</v>
      </c>
      <c r="H16" s="23">
        <f>F16*G16</f>
        <v/>
      </c>
      <c r="I16" s="4" t="n"/>
    </row>
    <row r="17" ht="45.75" customHeight="1">
      <c r="A17" s="4" t="n"/>
      <c r="B17" s="24" t="inlineStr">
        <is>
          <t>4.2</t>
        </is>
      </c>
      <c r="C17" s="25" t="inlineStr">
        <is>
          <t>Rabat</t>
        </is>
      </c>
      <c r="D17" s="25" t="inlineStr">
        <is>
          <t>Rabat za elastyczny harmonogram.</t>
        </is>
      </c>
      <c r="E17" s="25" t="inlineStr">
        <is>
          <t>Project Manager</t>
        </is>
      </c>
      <c r="F17" s="26" t="inlineStr">
        <is>
          <t>-</t>
        </is>
      </c>
      <c r="G17" s="27" t="inlineStr">
        <is>
          <t>-</t>
        </is>
      </c>
      <c r="H17" s="28" t="n">
        <v>-1000</v>
      </c>
      <c r="I17" s="4" t="n"/>
    </row>
    <row r="18" ht="24.75" customHeight="1">
      <c r="A18" s="4" t="n"/>
      <c r="B18" s="34" t="n"/>
      <c r="C18" s="4" t="n"/>
      <c r="D18" s="4" t="n"/>
      <c r="E18" s="4" t="n"/>
      <c r="F18" s="35" t="n"/>
      <c r="G18" s="36" t="inlineStr">
        <is>
          <t>SUMA</t>
        </is>
      </c>
      <c r="H18" s="37">
        <f>SUM(H7:H17)</f>
        <v/>
      </c>
      <c r="I18" s="4" t="n"/>
    </row>
    <row r="19" ht="24.75" customHeight="1">
      <c r="A19" s="4" t="n"/>
      <c r="B19" s="4" t="n"/>
      <c r="C19" s="4" t="n"/>
      <c r="D19" s="4" t="n"/>
      <c r="E19" s="4" t="n"/>
      <c r="F19" s="38" t="n"/>
      <c r="G19" s="39" t="n"/>
      <c r="H19" s="40" t="n"/>
      <c r="I19" s="4" t="n"/>
    </row>
  </sheetData>
  <mergeCells count="8">
    <mergeCell ref="B8:H8"/>
    <mergeCell ref="C2:H2"/>
    <mergeCell ref="B4:H4"/>
    <mergeCell ref="B6:H6"/>
    <mergeCell ref="B15:H15"/>
    <mergeCell ref="B11:H11"/>
    <mergeCell ref="C3:H3"/>
    <mergeCell ref="C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2026-07-07T12:34:39Z</dcterms:created>
  <dcterms:modified xsi:type="dcterms:W3CDTF">2026-07-07T12:34:39Z</dcterms:modified>
</cp:coreProperties>
</file>